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  <sheet xmlns:r="http://schemas.openxmlformats.org/officeDocument/2006/relationships" name="Batarya Hesabı" sheetId="2" state="visible" r:id="rId2"/>
    <sheet xmlns:r="http://schemas.openxmlformats.org/officeDocument/2006/relationships" name="Güç Grafiği" sheetId="3" state="visible" r:id="rId3"/>
    <sheet xmlns:r="http://schemas.openxmlformats.org/officeDocument/2006/relationships" name="Aynakol &amp; Chainline" sheetId="4" state="visible" r:id="rId4"/>
    <sheet xmlns:r="http://schemas.openxmlformats.org/officeDocument/2006/relationships" name="Sürekli Güç &amp; Isı" sheetId="5" state="visible" r:id="rId5"/>
    <sheet xmlns:r="http://schemas.openxmlformats.org/officeDocument/2006/relationships" name="Elektrik &amp; Güvenlik" sheetId="6" state="visible" r:id="rId6"/>
    <sheet xmlns:r="http://schemas.openxmlformats.org/officeDocument/2006/relationships" name="Senaryo Önerileri" sheetId="7" state="visible" r:id="rId7"/>
    <sheet xmlns:r="http://schemas.openxmlformats.org/officeDocument/2006/relationships" name="Örnek Akım Eğrisi" sheetId="8" state="visible" r:id="rId8"/>
    <sheet xmlns:r="http://schemas.openxmlformats.org/officeDocument/2006/relationships" name="Menzil Hesabı" sheetId="9" state="visible" r:id="rId9"/>
    <sheet xmlns:r="http://schemas.openxmlformats.org/officeDocument/2006/relationships" name="BOM - Parça Listes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750W vs 1000W Güç Karşılaştırması (48V örnek)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'Güç Grafiği'!B1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'Güç Grafiği'!$A$2:$A$3</f>
            </numRef>
          </cat>
          <val>
            <numRef>
              <f>'Güç Grafiği'!$B$2:$B$3</f>
            </numRef>
          </val>
        </ser>
        <ser>
          <idx val="1"/>
          <order val="1"/>
          <tx>
            <strRef>
              <f>'Güç Grafiği'!C1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'Güç Grafiği'!$A$2:$A$3</f>
            </numRef>
          </cat>
          <val>
            <numRef>
              <f>'Güç Grafiği'!$C$2:$C$3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Watt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Aynakol Dişlisi vs Yaklaşık Akım (İllüstratif)</a:t>
            </a:r>
          </a:p>
        </rich>
      </tx>
    </title>
    <plotArea>
      <lineChart>
        <grouping val="standard"/>
        <ser>
          <idx val="0"/>
          <order val="0"/>
          <tx>
            <strRef>
              <f>'Örnek Akım Eğrisi'!C1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'Örnek Akım Eğrisi'!$A$2:$A$7</f>
            </numRef>
          </cat>
          <val>
            <numRef>
              <f>'Örnek Akım Eğrisi'!$C$2:$C$7</f>
            </numRef>
          </val>
        </ser>
        <ser>
          <idx val="1"/>
          <order val="1"/>
          <tx>
            <strRef>
              <f>'Örnek Akım Eğrisi'!D1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'Örnek Akım Eğrisi'!$A$2:$A$7</f>
            </numRef>
          </cat>
          <val>
            <numRef>
              <f>'Örnek Akım Eğrisi'!$D$2:$D$7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Aynakol (T)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Amper (A)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Senaryolara Göre Tahmini Menzil</a:t>
            </a:r>
          </a:p>
        </rich>
      </tx>
    </title>
    <plotArea>
      <lineChart>
        <grouping val="standard"/>
        <ser>
          <idx val="0"/>
          <order val="0"/>
          <tx>
            <strRef>
              <f>'Menzil Hesabı'!F1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'Menzil Hesabı'!$A$2:$A$6</f>
            </numRef>
          </cat>
          <val>
            <numRef>
              <f>'Menzil Hesabı'!$F$2:$F$6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Senaryo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100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pecsTable" displayName="SpecsTable" ref="A1:N5" headerRowCount="1">
  <autoFilter ref="A1:N5"/>
  <tableColumns count="14">
    <tableColumn id="1" name="Motor Kodu"/>
    <tableColumn id="2" name="Piyasa Adı"/>
    <tableColumn id="3" name="Nominal Güç (W)"/>
    <tableColumn id="4" name="Nominal Voltaj (V)"/>
    <tableColumn id="5" name="Kontrolcü Akımı (A)"/>
    <tableColumn id="6" name="Tepe Güç (W) (≈V*A)"/>
    <tableColumn id="7" name="Maks. Tork (Nm)"/>
    <tableColumn id="8" name="Pedal Sensörü"/>
    <tableColumn id="9" name="Teker Uyumu"/>
    <tableColumn id="10" name="Hız Limitleri (km/h)"/>
    <tableColumn id="11" name="BB Uyumu (mm)"/>
    <tableColumn id="12" name="Ağırlık (kg)"/>
    <tableColumn id="13" name="Koruma/Sert."/>
    <tableColumn id="14" name="İdeal Batarya (BMS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BatteryTable" displayName="BatteryTable" ref="A1:I5" headerRowCount="1">
  <autoFilter ref="A1:I5"/>
  <tableColumns count="9">
    <tableColumn id="1" name="Senaryo"/>
    <tableColumn id="2" name="Voltaj (V)"/>
    <tableColumn id="3" name="Kontrolcü Akımı (A)"/>
    <tableColumn id="4" name="Önerilen Sürekli BMS (A)"/>
    <tableColumn id="5" name="Önerilen Kapasite (Ah) - min"/>
    <tableColumn id="6" name="Önerilen Kapasite (Ah) - rahat"/>
    <tableColumn id="7" name="Enerji (Wh) @ min Ah"/>
    <tableColumn id="8" name="Enerji (Wh) @ rahat Ah"/>
    <tableColumn id="9" name="No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ChainringTable" displayName="ChainringTable" ref="A1:F7" headerRowCount="1">
  <autoFilter ref="A1:F7"/>
  <tableColumns count="6">
    <tableColumn id="1" name="Aynakol (T)"/>
    <tableColumn id="2" name="Kullanım"/>
    <tableColumn id="3" name="Artıları"/>
    <tableColumn id="4" name="Eksileri"/>
    <tableColumn id="5" name="Önerilen motor"/>
    <tableColumn id="6" name="Notlar (chainline/aktarış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hermalTable" displayName="ThermalTable" ref="A1:E6" headerRowCount="1">
  <autoFilter ref="A1:E6"/>
  <tableColumns count="5">
    <tableColumn id="1" name="Koşul"/>
    <tableColumn id="2" name="Sürekli Güç Önerisi"/>
    <tableColumn id="3" name="Tipik Akım Davranışı"/>
    <tableColumn id="4" name="Risk"/>
    <tableColumn id="5" name="Pratik Önlem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ElecTable" displayName="ElecTable" ref="A1:D7" headerRowCount="1">
  <autoFilter ref="A1:D7"/>
  <tableColumns count="4">
    <tableColumn id="1" name="Bileşen"/>
    <tableColumn id="2" name="BBS02B (25A) öneri"/>
    <tableColumn id="3" name="BBSHD (30A) öneri"/>
    <tableColumn id="4" name="No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ScenarioTable" displayName="ScenarioTable" ref="A1:F6" headerRowCount="1">
  <autoFilter ref="A1:F6"/>
  <tableColumns count="6">
    <tableColumn id="1" name="Senaryo"/>
    <tableColumn id="2" name="Önerilen Motor"/>
    <tableColumn id="3" name="Önerilen Voltaj"/>
    <tableColumn id="4" name="Aynakol (T) başlangıç"/>
    <tableColumn id="5" name="Batarya (örnek)"/>
    <tableColumn id="6" name="Kritik No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CurrentCurveTable" displayName="CurrentCurveTable" ref="A1:D7" headerRowCount="1">
  <autoFilter ref="A1:D7"/>
  <tableColumns count="4">
    <tableColumn id="1" name="Aynakol (T)"/>
    <tableColumn id="2" name="Göreli Yokuş Yükü Katsayısı"/>
    <tableColumn id="3" name="Yaklaşık Akım İhtiyacı (BBS02B 48V)"/>
    <tableColumn id="4" name="Yaklaşık Akım İhtiyacı (BBSHD 48V)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RangeTable" displayName="RangeTable" ref="A1:G6" headerRowCount="1">
  <autoFilter ref="A1:G6"/>
  <tableColumns count="7">
    <tableColumn id="1" name="Senaryo"/>
    <tableColumn id="2" name="Voltaj (V)"/>
    <tableColumn id="3" name="Kapasite (Ah)"/>
    <tableColumn id="4" name="Enerji (Wh)"/>
    <tableColumn id="5" name="Ortalama Tüketim (Wh/km)"/>
    <tableColumn id="6" name="Tahmini Menzil (km)"/>
    <tableColumn id="7" name="No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BOMTable" displayName="BOMTable" ref="A1:F17" headerRowCount="1">
  <autoFilter ref="A1:F17"/>
  <tableColumns count="6">
    <tableColumn id="1" name="Kategori"/>
    <tableColumn id="2" name="Parça"/>
    <tableColumn id="3" name="Öneri / Spec"/>
    <tableColumn id="4" name="BBS02B (25A)"/>
    <tableColumn id="5" name="BBSHD (30A)"/>
    <tableColumn id="6" name="Not / Ned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8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20" customWidth="1" min="4" max="4"/>
    <col width="21" customWidth="1" min="5" max="5"/>
    <col width="21" customWidth="1" min="6" max="6"/>
    <col width="17" customWidth="1" min="7" max="7"/>
    <col width="15" customWidth="1" min="8" max="8"/>
    <col width="13" customWidth="1" min="9" max="9"/>
    <col width="22" customWidth="1" min="10" max="10"/>
    <col width="25" customWidth="1" min="11" max="11"/>
    <col width="14" customWidth="1" min="12" max="12"/>
    <col width="25" customWidth="1" min="13" max="13"/>
    <col width="26" customWidth="1" min="14" max="14"/>
  </cols>
  <sheetData>
    <row r="1">
      <c r="A1" t="inlineStr">
        <is>
          <t>Motor Kodu</t>
        </is>
      </c>
      <c r="B1" t="inlineStr">
        <is>
          <t>Piyasa Adı</t>
        </is>
      </c>
      <c r="C1" t="inlineStr">
        <is>
          <t>Nominal Güç (W)</t>
        </is>
      </c>
      <c r="D1" t="inlineStr">
        <is>
          <t>Nominal Voltaj (V)</t>
        </is>
      </c>
      <c r="E1" t="inlineStr">
        <is>
          <t>Kontrolcü Akımı (A)</t>
        </is>
      </c>
      <c r="F1" t="inlineStr">
        <is>
          <t>Tepe Güç (W) (≈V*A)</t>
        </is>
      </c>
      <c r="G1" t="inlineStr">
        <is>
          <t>Maks. Tork (Nm)</t>
        </is>
      </c>
      <c r="H1" t="inlineStr">
        <is>
          <t>Pedal Sensörü</t>
        </is>
      </c>
      <c r="I1" t="inlineStr">
        <is>
          <t>Teker Uyumu</t>
        </is>
      </c>
      <c r="J1" t="inlineStr">
        <is>
          <t>Hız Limitleri (km/h)</t>
        </is>
      </c>
      <c r="K1" t="inlineStr">
        <is>
          <t>BB Uyumu (mm)</t>
        </is>
      </c>
      <c r="L1" t="inlineStr">
        <is>
          <t>Ağırlık (kg)</t>
        </is>
      </c>
      <c r="M1" t="inlineStr">
        <is>
          <t>Koruma/Sert.</t>
        </is>
      </c>
      <c r="N1" t="inlineStr">
        <is>
          <t>İdeal Batarya (BMS)</t>
        </is>
      </c>
    </row>
    <row r="2">
      <c r="A2" t="inlineStr">
        <is>
          <t>MM G320.750.C</t>
        </is>
      </c>
      <c r="B2" t="inlineStr">
        <is>
          <t>BBS02B</t>
        </is>
      </c>
      <c r="C2" t="n">
        <v>750</v>
      </c>
      <c r="D2" t="n">
        <v>48</v>
      </c>
      <c r="E2" t="n">
        <v>25</v>
      </c>
      <c r="F2" t="n">
        <v>1200</v>
      </c>
      <c r="G2" t="inlineStr">
        <is>
          <t>≈120–160</t>
        </is>
      </c>
      <c r="H2" t="inlineStr">
        <is>
          <t>Cadence</t>
        </is>
      </c>
      <c r="I2" t="inlineStr">
        <is>
          <t>20–29"</t>
        </is>
      </c>
      <c r="J2" t="inlineStr">
        <is>
          <t>25/32/45</t>
        </is>
      </c>
      <c r="K2" t="inlineStr">
        <is>
          <t>68/73/83/90/100/110/120</t>
        </is>
      </c>
      <c r="L2" t="n">
        <v>5.6</v>
      </c>
      <c r="M2" t="inlineStr">
        <is>
          <t>IPX5, CE, EN14764, ROHS</t>
        </is>
      </c>
      <c r="N2" t="inlineStr">
        <is>
          <t>48V BMS ≥30A (35A öneri)</t>
        </is>
      </c>
    </row>
    <row r="3">
      <c r="A3" t="inlineStr">
        <is>
          <t>MM G320.1000.C</t>
        </is>
      </c>
      <c r="B3" t="inlineStr">
        <is>
          <t>BBSHD</t>
        </is>
      </c>
      <c r="C3" t="n">
        <v>1000</v>
      </c>
      <c r="D3" t="n">
        <v>48</v>
      </c>
      <c r="E3" t="n">
        <v>30</v>
      </c>
      <c r="F3" t="n">
        <v>1440</v>
      </c>
      <c r="G3" t="inlineStr">
        <is>
          <t>160 (Peak 200)</t>
        </is>
      </c>
      <c r="H3" t="inlineStr">
        <is>
          <t>Cadence</t>
        </is>
      </c>
      <c r="I3" t="inlineStr">
        <is>
          <t>20–29"</t>
        </is>
      </c>
      <c r="J3" t="inlineStr">
        <is>
          <t>25/32/45</t>
        </is>
      </c>
      <c r="K3" t="inlineStr">
        <is>
          <t>68/73/83/90/100/110/120</t>
        </is>
      </c>
      <c r="L3" t="n">
        <v>5.6</v>
      </c>
      <c r="M3" t="inlineStr">
        <is>
          <t>IPX5, CE, EN14764, ROHS</t>
        </is>
      </c>
      <c r="N3" t="inlineStr">
        <is>
          <t>48V BMS ≥40A (45A öneri)</t>
        </is>
      </c>
    </row>
    <row r="4">
      <c r="A4" t="inlineStr">
        <is>
          <t>MM G320.750.C</t>
        </is>
      </c>
      <c r="B4" t="inlineStr">
        <is>
          <t>BBS02B (52V)</t>
        </is>
      </c>
      <c r="C4" t="n">
        <v>750</v>
      </c>
      <c r="D4" t="n">
        <v>52</v>
      </c>
      <c r="E4" t="n">
        <v>25</v>
      </c>
      <c r="F4" t="n">
        <v>1300</v>
      </c>
      <c r="G4" t="inlineStr">
        <is>
          <t>≈120–160</t>
        </is>
      </c>
      <c r="H4" t="inlineStr">
        <is>
          <t>Cadence</t>
        </is>
      </c>
      <c r="I4" t="inlineStr">
        <is>
          <t>20–29"</t>
        </is>
      </c>
      <c r="J4" t="inlineStr">
        <is>
          <t>25/32/45</t>
        </is>
      </c>
      <c r="K4" t="inlineStr">
        <is>
          <t>68/73/83/90/100/110/120</t>
        </is>
      </c>
      <c r="L4" t="n">
        <v>5.6</v>
      </c>
      <c r="M4" t="inlineStr">
        <is>
          <t>IPX5, CE, EN14764, ROHS</t>
        </is>
      </c>
      <c r="N4" t="inlineStr">
        <is>
          <t>52V BMS ≥30A (35A öneri)</t>
        </is>
      </c>
    </row>
    <row r="5">
      <c r="A5" t="inlineStr">
        <is>
          <t>MM G320.1000.C</t>
        </is>
      </c>
      <c r="B5" t="inlineStr">
        <is>
          <t>BBSHD (52V)</t>
        </is>
      </c>
      <c r="C5" t="n">
        <v>1000</v>
      </c>
      <c r="D5" t="n">
        <v>52</v>
      </c>
      <c r="E5" t="n">
        <v>30</v>
      </c>
      <c r="F5" t="n">
        <v>1560</v>
      </c>
      <c r="G5" t="inlineStr">
        <is>
          <t>160 (Peak 200)</t>
        </is>
      </c>
      <c r="H5" t="inlineStr">
        <is>
          <t>Cadence</t>
        </is>
      </c>
      <c r="I5" t="inlineStr">
        <is>
          <t>20–29"</t>
        </is>
      </c>
      <c r="J5" t="inlineStr">
        <is>
          <t>25/32/45</t>
        </is>
      </c>
      <c r="K5" t="inlineStr">
        <is>
          <t>68/73/83/90/100/110/120</t>
        </is>
      </c>
      <c r="L5" t="n">
        <v>5.6</v>
      </c>
      <c r="M5" t="inlineStr">
        <is>
          <t>IPX5, CE, EN14764, ROHS</t>
        </is>
      </c>
      <c r="N5" t="inlineStr">
        <is>
          <t>52V BMS ≥40A (45A öneri)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6" customWidth="1" min="4" max="4"/>
    <col width="30" customWidth="1" min="5" max="5"/>
    <col width="32" customWidth="1" min="6" max="6"/>
    <col width="22" customWidth="1" min="7" max="7"/>
    <col width="24" customWidth="1" min="8" max="8"/>
    <col width="55" customWidth="1" min="9" max="9"/>
  </cols>
  <sheetData>
    <row r="1">
      <c r="A1" t="inlineStr">
        <is>
          <t>Senaryo</t>
        </is>
      </c>
      <c r="B1" t="inlineStr">
        <is>
          <t>Voltaj (V)</t>
        </is>
      </c>
      <c r="C1" t="inlineStr">
        <is>
          <t>Kontrolcü Akımı (A)</t>
        </is>
      </c>
      <c r="D1" t="inlineStr">
        <is>
          <t>Önerilen Sürekli BMS (A)</t>
        </is>
      </c>
      <c r="E1" t="inlineStr">
        <is>
          <t>Önerilen Kapasite (Ah) - min</t>
        </is>
      </c>
      <c r="F1" t="inlineStr">
        <is>
          <t>Önerilen Kapasite (Ah) - rahat</t>
        </is>
      </c>
      <c r="G1" t="inlineStr">
        <is>
          <t>Enerji (Wh) @ min Ah</t>
        </is>
      </c>
      <c r="H1" t="inlineStr">
        <is>
          <t>Enerji (Wh) @ rahat Ah</t>
        </is>
      </c>
      <c r="I1" t="inlineStr">
        <is>
          <t>Not</t>
        </is>
      </c>
    </row>
    <row r="2">
      <c r="A2" t="inlineStr">
        <is>
          <t>BBS02B 48V</t>
        </is>
      </c>
      <c r="B2" t="n">
        <v>48</v>
      </c>
      <c r="C2" t="n">
        <v>25</v>
      </c>
      <c r="D2" t="n">
        <v>30</v>
      </c>
      <c r="E2" t="n">
        <v>17</v>
      </c>
      <c r="F2" t="n">
        <v>24</v>
      </c>
      <c r="G2" t="n">
        <v>816</v>
      </c>
      <c r="H2" t="n">
        <v>1152</v>
      </c>
      <c r="I2" t="inlineStr">
        <is>
          <t>Şehir + orta yokuş, 15–25 km menzil hedefi için min; rahat kullanım 24Ah+</t>
        </is>
      </c>
    </row>
    <row r="3">
      <c r="A3" t="inlineStr">
        <is>
          <t>BBSHD 48V</t>
        </is>
      </c>
      <c r="B3" t="n">
        <v>48</v>
      </c>
      <c r="C3" t="n">
        <v>30</v>
      </c>
      <c r="D3" t="n">
        <v>40</v>
      </c>
      <c r="E3" t="n">
        <v>20</v>
      </c>
      <c r="F3" t="n">
        <v>28</v>
      </c>
      <c r="G3" t="n">
        <v>960</v>
      </c>
      <c r="H3" t="n">
        <v>1344</v>
      </c>
      <c r="I3" t="inlineStr">
        <is>
          <t>Yokuş/kargo için 28Ah civarı daha stabil (ısı ve voltaj düşümü daha az).</t>
        </is>
      </c>
    </row>
    <row r="4">
      <c r="A4" t="inlineStr">
        <is>
          <t>BBS02B 52V</t>
        </is>
      </c>
      <c r="B4" t="n">
        <v>52</v>
      </c>
      <c r="C4" t="n">
        <v>25</v>
      </c>
      <c r="D4" t="n">
        <v>30</v>
      </c>
      <c r="E4" t="n">
        <v>17</v>
      </c>
      <c r="F4" t="n">
        <v>24</v>
      </c>
      <c r="G4" t="n">
        <v>884</v>
      </c>
      <c r="H4" t="n">
        <v>1248</v>
      </c>
      <c r="I4" t="inlineStr">
        <is>
          <t>52V daha yüksek hız/tepki; BMS ve konnektörler uygun olmalı.</t>
        </is>
      </c>
    </row>
    <row r="5">
      <c r="A5" t="inlineStr">
        <is>
          <t>BBSHD 52V</t>
        </is>
      </c>
      <c r="B5" t="n">
        <v>52</v>
      </c>
      <c r="C5" t="n">
        <v>30</v>
      </c>
      <c r="D5" t="n">
        <v>40</v>
      </c>
      <c r="E5" t="n">
        <v>20</v>
      </c>
      <c r="F5" t="n">
        <v>28</v>
      </c>
      <c r="G5" t="n">
        <v>1040</v>
      </c>
      <c r="H5" t="n">
        <v>1456</v>
      </c>
      <c r="I5" t="inlineStr">
        <is>
          <t>Yüksek performans; kablo/konnektör/sigorta kesin güçlendirilmeli.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</cols>
  <sheetData>
    <row r="1">
      <c r="A1" t="inlineStr">
        <is>
          <t>Model</t>
        </is>
      </c>
      <c r="B1" t="inlineStr">
        <is>
          <t>Nominal Güç (W)</t>
        </is>
      </c>
      <c r="C1" t="inlineStr">
        <is>
          <t>Tepe Güç (W)</t>
        </is>
      </c>
    </row>
    <row r="2">
      <c r="A2" t="inlineStr">
        <is>
          <t>BBS02B (48V/25A)</t>
        </is>
      </c>
      <c r="B2" t="n">
        <v>750</v>
      </c>
      <c r="C2" t="n">
        <v>1200</v>
      </c>
    </row>
    <row r="3">
      <c r="A3" t="inlineStr">
        <is>
          <t>BBSHD (48V/30A)</t>
        </is>
      </c>
      <c r="B3" t="n">
        <v>1000</v>
      </c>
      <c r="C3" t="n">
        <v>1440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55" customWidth="1" min="3" max="3"/>
    <col width="52" customWidth="1" min="4" max="4"/>
    <col width="19" customWidth="1" min="5" max="5"/>
    <col width="55" customWidth="1" min="6" max="6"/>
  </cols>
  <sheetData>
    <row r="1">
      <c r="A1" t="inlineStr">
        <is>
          <t>Aynakol (T)</t>
        </is>
      </c>
      <c r="B1" t="inlineStr">
        <is>
          <t>Kullanım</t>
        </is>
      </c>
      <c r="C1" t="inlineStr">
        <is>
          <t>Artıları</t>
        </is>
      </c>
      <c r="D1" t="inlineStr">
        <is>
          <t>Eksileri</t>
        </is>
      </c>
      <c r="E1" t="inlineStr">
        <is>
          <t>Önerilen motor</t>
        </is>
      </c>
      <c r="F1" t="inlineStr">
        <is>
          <t>Notlar (chainline/aktarış)</t>
        </is>
      </c>
    </row>
    <row r="2">
      <c r="A2" t="n">
        <v>36</v>
      </c>
      <c r="B2" t="inlineStr">
        <is>
          <t>Dik yokuş / kargo / düşük hız tırmanış</t>
        </is>
      </c>
      <c r="C2" t="inlineStr">
        <is>
          <t>Yüksek tırmanma torku, düşük ısı, zincir/dişli daha az yüklenir</t>
        </is>
      </c>
      <c r="D2" t="inlineStr">
        <is>
          <t>Düzde daha düşük maksimum hız; cadence hızlı artar</t>
        </is>
      </c>
      <c r="E2" t="inlineStr">
        <is>
          <t>BBS02B veya BBSHD</t>
        </is>
      </c>
      <c r="F2" t="inlineStr">
        <is>
          <t>7–9 vites arka ile iyi; zincir hattı genelde daha iyi olur.</t>
        </is>
      </c>
    </row>
    <row r="3">
      <c r="A3" t="n">
        <v>38</v>
      </c>
      <c r="B3" t="inlineStr">
        <is>
          <t>Yokuş + şehir dengesi</t>
        </is>
      </c>
      <c r="C3" t="inlineStr">
        <is>
          <t>Yokuşta güçlü, düzde biraz daha hız</t>
        </is>
      </c>
      <c r="D3" t="inlineStr">
        <is>
          <t>36T kadar tırmanış avantajı yok</t>
        </is>
      </c>
      <c r="E3" t="inlineStr">
        <is>
          <t>BBS02B / BBSHD</t>
        </is>
      </c>
      <c r="F3" t="inlineStr">
        <is>
          <t>Günlük kullanım için çok iyi denge.</t>
        </is>
      </c>
    </row>
    <row r="4">
      <c r="A4" t="n">
        <v>40</v>
      </c>
      <c r="B4" t="inlineStr">
        <is>
          <t>Şehir + hafif yokuş</t>
        </is>
      </c>
      <c r="C4" t="inlineStr">
        <is>
          <t>Şehir hızları rahat, cadence dengeli</t>
        </is>
      </c>
      <c r="D4" t="inlineStr">
        <is>
          <t>Ağır yükte/çok dik yokuşta ısınma artabilir</t>
        </is>
      </c>
      <c r="E4" t="inlineStr">
        <is>
          <t>BBS02B</t>
        </is>
      </c>
      <c r="F4" t="inlineStr">
        <is>
          <t>Düz ağırlıklı sürüşlerde iyi.</t>
        </is>
      </c>
    </row>
    <row r="5">
      <c r="A5" t="n">
        <v>42</v>
      </c>
      <c r="B5" t="inlineStr">
        <is>
          <t>Genel kullanım (kitlerde çok yaygın)</t>
        </is>
      </c>
      <c r="C5" t="inlineStr">
        <is>
          <t>Parça bulunabilirliği, düzde hız</t>
        </is>
      </c>
      <c r="D5" t="inlineStr">
        <is>
          <t>Dik yokuşta akım/ısı yükselir</t>
        </is>
      </c>
      <c r="E5" t="inlineStr">
        <is>
          <t>BBS02B / BBSHD</t>
        </is>
      </c>
      <c r="F5" t="inlineStr">
        <is>
          <t>Uzun yokuşlarda 36–38T daha güvenli.</t>
        </is>
      </c>
    </row>
    <row r="6">
      <c r="A6" t="n">
        <v>44</v>
      </c>
      <c r="B6" t="inlineStr">
        <is>
          <t>Hız odaklı şehir/banliyö</t>
        </is>
      </c>
      <c r="C6" t="inlineStr">
        <is>
          <t>Düzde daha yüksek hız</t>
        </is>
      </c>
      <c r="D6" t="inlineStr">
        <is>
          <t>Yokuşta zorlar; zincir/dişli yükü artar</t>
        </is>
      </c>
      <c r="E6" t="inlineStr">
        <is>
          <t>BBSHD</t>
        </is>
      </c>
      <c r="F6" t="inlineStr">
        <is>
          <t>Kargo/yokuş ağırlıklı önerilmez.</t>
        </is>
      </c>
    </row>
    <row r="7">
      <c r="A7" t="n">
        <v>46</v>
      </c>
      <c r="B7" t="inlineStr">
        <is>
          <t>En yüksek hız odaklı</t>
        </is>
      </c>
      <c r="C7" t="inlineStr">
        <is>
          <t>Düzde maksimum hız</t>
        </is>
      </c>
      <c r="D7" t="inlineStr">
        <is>
          <t>Yokuşta verimsiz; ısı ve akım artışı</t>
        </is>
      </c>
      <c r="E7" t="inlineStr">
        <is>
          <t>BBSHD</t>
        </is>
      </c>
      <c r="F7" t="inlineStr">
        <is>
          <t>Çok düz rotalarda; fren/lastik/aktarma güçlü olmalı.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43" customWidth="1" min="3" max="3"/>
    <col width="17" customWidth="1" min="4" max="4"/>
    <col width="55" customWidth="1" min="5" max="5"/>
  </cols>
  <sheetData>
    <row r="1">
      <c r="A1" t="inlineStr">
        <is>
          <t>Koşul</t>
        </is>
      </c>
      <c r="B1" t="inlineStr">
        <is>
          <t>Sürekli Güç Önerisi</t>
        </is>
      </c>
      <c r="C1" t="inlineStr">
        <is>
          <t>Tipik Akım Davranışı</t>
        </is>
      </c>
      <c r="D1" t="inlineStr">
        <is>
          <t>Risk</t>
        </is>
      </c>
      <c r="E1" t="inlineStr">
        <is>
          <t>Pratik Önlem</t>
        </is>
      </c>
    </row>
    <row r="2">
      <c r="A2" t="inlineStr">
        <is>
          <t>Düz yol, 20–30 km/h, iyi hava akımı</t>
        </is>
      </c>
      <c r="B2" t="inlineStr">
        <is>
          <t>Nominalin %80–100'ü mümkün</t>
        </is>
      </c>
      <c r="C2" t="inlineStr">
        <is>
          <t>Akım dalgalı, ortalama düşük</t>
        </is>
      </c>
      <c r="D2" t="inlineStr">
        <is>
          <t>Düşük</t>
        </is>
      </c>
      <c r="E2" t="inlineStr">
        <is>
          <t>Kadans yüksek (80–100 rpm), doğru vites</t>
        </is>
      </c>
    </row>
    <row r="3">
      <c r="A3" t="inlineStr">
        <is>
          <t>Uzun yokuş, 6–10% eğim, 10–18 km/h</t>
        </is>
      </c>
      <c r="B3" t="inlineStr">
        <is>
          <t>Nominalin %50–70'i</t>
        </is>
      </c>
      <c r="C3" t="inlineStr">
        <is>
          <t>Akım uzun süre yüksek kalır</t>
        </is>
      </c>
      <c r="D3" t="inlineStr">
        <is>
          <t>Orta</t>
        </is>
      </c>
      <c r="E3" t="inlineStr">
        <is>
          <t>36–38T, düşük vites, dur-kalk azalt, motoru zorlamadan kadansı koru</t>
        </is>
      </c>
    </row>
    <row r="4">
      <c r="A4" t="inlineStr">
        <is>
          <t>Çok dik yokuş, &gt;10% eğim, düşük hız &lt;10 km/h</t>
        </is>
      </c>
      <c r="B4" t="inlineStr">
        <is>
          <t>Nominalin %30–50'si</t>
        </is>
      </c>
      <c r="C4" t="inlineStr">
        <is>
          <t>Akım maksimuma yakın, verim düşer</t>
        </is>
      </c>
      <c r="D4" t="inlineStr">
        <is>
          <t>Yüksek (ısınma)</t>
        </is>
      </c>
      <c r="E4" t="inlineStr">
        <is>
          <t>Durup soğut, daha küçük aynakol, mümkünse BBSHD + daha güçlü batarya</t>
        </is>
      </c>
    </row>
    <row r="5">
      <c r="A5" t="inlineStr">
        <is>
          <t>Kargo + yokuş (ağır yük)</t>
        </is>
      </c>
      <c r="B5" t="inlineStr">
        <is>
          <t>Nominalin %30–60'ı</t>
        </is>
      </c>
      <c r="C5" t="inlineStr">
        <is>
          <t>Akım yüksek, batarya voltaj sarkması olur</t>
        </is>
      </c>
      <c r="D5" t="inlineStr">
        <is>
          <t>Yüksek</t>
        </is>
      </c>
      <c r="E5" t="inlineStr">
        <is>
          <t>BMS akımı yüksek, kalın kablo, iyi fren/aktarma; 36T önerilir</t>
        </is>
      </c>
    </row>
    <row r="6">
      <c r="A6" t="inlineStr">
        <is>
          <t>Sıcak hava (30°C+), düşük hız</t>
        </is>
      </c>
      <c r="B6" t="inlineStr">
        <is>
          <t>Nominalin %30–60'ı</t>
        </is>
      </c>
      <c r="C6" t="inlineStr">
        <is>
          <t>Isı birikir</t>
        </is>
      </c>
      <c r="D6" t="inlineStr">
        <is>
          <t>Yüksek</t>
        </is>
      </c>
      <c r="E6" t="inlineStr">
        <is>
          <t>Aralıklı sürüş, gölgede soğut, kadansı yükselt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6" customWidth="1" min="1" max="1"/>
    <col width="27" customWidth="1" min="2" max="2"/>
    <col width="40" customWidth="1" min="3" max="3"/>
    <col width="55" customWidth="1" min="4" max="4"/>
  </cols>
  <sheetData>
    <row r="1">
      <c r="A1" t="inlineStr">
        <is>
          <t>Bileşen</t>
        </is>
      </c>
      <c r="B1" t="inlineStr">
        <is>
          <t>BBS02B (25A) öneri</t>
        </is>
      </c>
      <c r="C1" t="inlineStr">
        <is>
          <t>BBSHD (30A) öneri</t>
        </is>
      </c>
      <c r="D1" t="inlineStr">
        <is>
          <t>Not</t>
        </is>
      </c>
    </row>
    <row r="2">
      <c r="A2" t="inlineStr">
        <is>
          <t>Ana besleme kablo kesiti (batarya→kontrolcü)</t>
        </is>
      </c>
      <c r="B2" t="inlineStr">
        <is>
          <t>En az 12 AWG (~3.3 mm²)</t>
        </is>
      </c>
      <c r="C2" t="inlineStr">
        <is>
          <t>Tercihen 10 AWG (~5.3 mm²), min 12 AWG</t>
        </is>
      </c>
      <c r="D2" t="inlineStr">
        <is>
          <t>Kablo kısa olmalı; 52V/uzun kablo/ısı için bir kademe kalınlaştır.</t>
        </is>
      </c>
    </row>
    <row r="3">
      <c r="A3" t="inlineStr">
        <is>
          <t>Konnektör</t>
        </is>
      </c>
      <c r="B3" t="inlineStr">
        <is>
          <t>XT60 (min)</t>
        </is>
      </c>
      <c r="C3" t="inlineStr">
        <is>
          <t>XT90 (öneri) / XT60 (min)</t>
        </is>
      </c>
      <c r="D3" t="inlineStr">
        <is>
          <t>XT90-S (anti-spark) kıvılcımı azaltır, konnektör ömrünü artırır.</t>
        </is>
      </c>
    </row>
    <row r="4">
      <c r="A4" t="inlineStr">
        <is>
          <t>Sigorta (batarya çıkışı)</t>
        </is>
      </c>
      <c r="B4" t="inlineStr">
        <is>
          <t>35A otomotiv blade / MIDI</t>
        </is>
      </c>
      <c r="C4" t="inlineStr">
        <is>
          <t>45A otomotiv blade / MIDI</t>
        </is>
      </c>
      <c r="D4" t="inlineStr">
        <is>
          <t>Sigorta BMS'ten sonra, bataryaya yakın konumda olmalı.</t>
        </is>
      </c>
    </row>
    <row r="5">
      <c r="A5" t="inlineStr">
        <is>
          <t>Anahtar / kontaktör</t>
        </is>
      </c>
      <c r="B5" t="inlineStr">
        <is>
          <t>48–52V, 40A sınıfı</t>
        </is>
      </c>
      <c r="C5" t="inlineStr">
        <is>
          <t>48–52V, 60A sınıfı</t>
        </is>
      </c>
      <c r="D5" t="inlineStr">
        <is>
          <t>Kargo/servis için harici anahtar pratik.</t>
        </is>
      </c>
    </row>
    <row r="6">
      <c r="A6" t="inlineStr">
        <is>
          <t>BMS sürekli akım</t>
        </is>
      </c>
      <c r="B6" t="inlineStr">
        <is>
          <t>≥30A (35A rahat)</t>
        </is>
      </c>
      <c r="C6" t="inlineStr">
        <is>
          <t>≥40A (45A rahat)</t>
        </is>
      </c>
      <c r="D6" t="inlineStr">
        <is>
          <t>BMS sürekli akım kapasitesi, tepe akımdan daha kritik.</t>
        </is>
      </c>
    </row>
    <row r="7">
      <c r="A7" t="inlineStr">
        <is>
          <t>Şarj soketi &amp; kablo</t>
        </is>
      </c>
      <c r="B7" t="inlineStr">
        <is>
          <t>5A şarja uygun</t>
        </is>
      </c>
      <c r="C7" t="inlineStr">
        <is>
          <t>5–8A şarja uygun</t>
        </is>
      </c>
      <c r="D7" t="inlineStr">
        <is>
          <t>Hızlı şarj için kablo/konektör ısınmasını kontrol et.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7" customWidth="1" min="3" max="3"/>
    <col width="23" customWidth="1" min="4" max="4"/>
    <col width="26" customWidth="1" min="5" max="5"/>
    <col width="55" customWidth="1" min="6" max="6"/>
  </cols>
  <sheetData>
    <row r="1">
      <c r="A1" t="inlineStr">
        <is>
          <t>Senaryo</t>
        </is>
      </c>
      <c r="B1" t="inlineStr">
        <is>
          <t>Önerilen Motor</t>
        </is>
      </c>
      <c r="C1" t="inlineStr">
        <is>
          <t>Önerilen Voltaj</t>
        </is>
      </c>
      <c r="D1" t="inlineStr">
        <is>
          <t>Aynakol (T) başlangıç</t>
        </is>
      </c>
      <c r="E1" t="inlineStr">
        <is>
          <t>Batarya (örnek)</t>
        </is>
      </c>
      <c r="F1" t="inlineStr">
        <is>
          <t>Kritik Not</t>
        </is>
      </c>
    </row>
    <row r="2">
      <c r="A2" t="inlineStr">
        <is>
          <t>Şehir içi, düz ağırlıklı, hafif yokuş</t>
        </is>
      </c>
      <c r="B2" t="inlineStr">
        <is>
          <t>BBS02B</t>
        </is>
      </c>
      <c r="C2" t="inlineStr">
        <is>
          <t>48V</t>
        </is>
      </c>
      <c r="D2" t="inlineStr">
        <is>
          <t>38–42T (min 36T)</t>
        </is>
      </c>
      <c r="E2" t="inlineStr">
        <is>
          <t>48V 20–24Ah, BMS ≥30–35A</t>
        </is>
      </c>
      <c r="F2" t="inlineStr">
        <is>
          <t>Sessiz/ekonomik; uzun yokuşta 36–38T daha iyi.</t>
        </is>
      </c>
    </row>
    <row r="3">
      <c r="A3" t="inlineStr">
        <is>
          <t>Şehir + düzenli yokuş (6–10%), orta hız</t>
        </is>
      </c>
      <c r="B3" t="inlineStr">
        <is>
          <t>BBS02B veya BBSHD</t>
        </is>
      </c>
      <c r="C3" t="inlineStr">
        <is>
          <t>48V</t>
        </is>
      </c>
      <c r="D3" t="inlineStr">
        <is>
          <t>36–38T</t>
        </is>
      </c>
      <c r="E3" t="inlineStr">
        <is>
          <t>48V 24–28Ah, BMS ≥35–45A</t>
        </is>
      </c>
      <c r="F3" t="inlineStr">
        <is>
          <t>Isı yönetimi için küçük aynakol + uygun vites.</t>
        </is>
      </c>
    </row>
    <row r="4">
      <c r="A4" t="inlineStr">
        <is>
          <t>Dağ/çok dik yokuş, düşük hız tırmanış</t>
        </is>
      </c>
      <c r="B4" t="inlineStr">
        <is>
          <t>BBSHD</t>
        </is>
      </c>
      <c r="C4" t="inlineStr">
        <is>
          <t>48V/52V</t>
        </is>
      </c>
      <c r="D4" t="inlineStr">
        <is>
          <t>36T (başlangıç)</t>
        </is>
      </c>
      <c r="E4" t="inlineStr">
        <is>
          <t>52V 24–28Ah, BMS ≥45A</t>
        </is>
      </c>
      <c r="F4" t="inlineStr">
        <is>
          <t>Düşük hızda uzun süre tam akım ısınma yapar; mola-soğut şart.</t>
        </is>
      </c>
    </row>
    <row r="5">
      <c r="A5" t="inlineStr">
        <is>
          <t>Kargo / ağır yük + yokuş</t>
        </is>
      </c>
      <c r="B5" t="inlineStr">
        <is>
          <t>BBSHD</t>
        </is>
      </c>
      <c r="C5" t="inlineStr">
        <is>
          <t>48V</t>
        </is>
      </c>
      <c r="D5" t="inlineStr">
        <is>
          <t>36T (başlangıç)</t>
        </is>
      </c>
      <c r="E5" t="inlineStr">
        <is>
          <t>48V 28Ah+, BMS ≥45A</t>
        </is>
      </c>
      <c r="F5" t="inlineStr">
        <is>
          <t>Fren/aktarma güçlendir; konnektör XT90-S önerilir.</t>
        </is>
      </c>
    </row>
    <row r="6">
      <c r="A6" t="inlineStr">
        <is>
          <t>Banliyö/hız odaklı, daha yüksek cruising</t>
        </is>
      </c>
      <c r="B6" t="inlineStr">
        <is>
          <t>BBSHD</t>
        </is>
      </c>
      <c r="C6" t="inlineStr">
        <is>
          <t>52V</t>
        </is>
      </c>
      <c r="D6" t="inlineStr">
        <is>
          <t>40–46T (min 36T)</t>
        </is>
      </c>
      <c r="E6" t="inlineStr">
        <is>
          <t>52V 24–28Ah, BMS ≥45A</t>
        </is>
      </c>
      <c r="F6" t="inlineStr">
        <is>
          <t>Hız arttıkça fren ve lastik kalite/ısı önemli.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37" customWidth="1" min="3" max="3"/>
    <col width="36" customWidth="1" min="4" max="4"/>
  </cols>
  <sheetData>
    <row r="1">
      <c r="A1" t="inlineStr">
        <is>
          <t>Aynakol (T)</t>
        </is>
      </c>
      <c r="B1" t="inlineStr">
        <is>
          <t>Göreli Yokuş Yükü Katsayısı</t>
        </is>
      </c>
      <c r="C1" t="inlineStr">
        <is>
          <t>Yaklaşık Akım İhtiyacı (BBS02B 48V)</t>
        </is>
      </c>
      <c r="D1" t="inlineStr">
        <is>
          <t>Yaklaşık Akım İhtiyacı (BBSHD 48V)</t>
        </is>
      </c>
    </row>
    <row r="2">
      <c r="A2" t="n">
        <v>36</v>
      </c>
      <c r="B2" t="n">
        <v>0.85</v>
      </c>
      <c r="C2" t="n">
        <v>21.2</v>
      </c>
      <c r="D2" t="n">
        <v>25.5</v>
      </c>
    </row>
    <row r="3">
      <c r="A3" t="n">
        <v>38</v>
      </c>
      <c r="B3" t="n">
        <v>0.9</v>
      </c>
      <c r="C3" t="n">
        <v>22.5</v>
      </c>
      <c r="D3" t="n">
        <v>27</v>
      </c>
    </row>
    <row r="4">
      <c r="A4" t="n">
        <v>40</v>
      </c>
      <c r="B4" t="n">
        <v>0.95</v>
      </c>
      <c r="C4" t="n">
        <v>23.8</v>
      </c>
      <c r="D4" t="n">
        <v>28.5</v>
      </c>
    </row>
    <row r="5">
      <c r="A5" t="n">
        <v>42</v>
      </c>
      <c r="B5" t="n">
        <v>1</v>
      </c>
      <c r="C5" t="n">
        <v>25</v>
      </c>
      <c r="D5" t="n">
        <v>30</v>
      </c>
    </row>
    <row r="6">
      <c r="A6" t="n">
        <v>44</v>
      </c>
      <c r="B6" t="n">
        <v>1.05</v>
      </c>
      <c r="C6" t="n">
        <v>26.2</v>
      </c>
      <c r="D6" t="n">
        <v>31.5</v>
      </c>
    </row>
    <row r="7">
      <c r="A7" t="n">
        <v>46</v>
      </c>
      <c r="B7" t="n">
        <v>1.1</v>
      </c>
      <c r="C7" t="n">
        <v>27.5</v>
      </c>
      <c r="D7" t="n">
        <v>33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7" customWidth="1" min="4" max="4"/>
    <col width="26" customWidth="1" min="5" max="5"/>
    <col width="21" customWidth="1" min="6" max="6"/>
    <col width="34" customWidth="1" min="7" max="7"/>
  </cols>
  <sheetData>
    <row r="1">
      <c r="A1" t="inlineStr">
        <is>
          <t>Senaryo</t>
        </is>
      </c>
      <c r="B1" t="inlineStr">
        <is>
          <t>Voltaj (V)</t>
        </is>
      </c>
      <c r="C1" t="inlineStr">
        <is>
          <t>Kapasite (Ah)</t>
        </is>
      </c>
      <c r="D1" t="inlineStr">
        <is>
          <t>Enerji (Wh)</t>
        </is>
      </c>
      <c r="E1" t="inlineStr">
        <is>
          <t>Ortalama Tüketim (Wh/km)</t>
        </is>
      </c>
      <c r="F1" t="inlineStr">
        <is>
          <t>Tahmini Menzil (km)</t>
        </is>
      </c>
      <c r="G1" t="inlineStr">
        <is>
          <t>Not</t>
        </is>
      </c>
    </row>
    <row r="2">
      <c r="A2" t="inlineStr">
        <is>
          <t>Şehir düz (ekonomik)</t>
        </is>
      </c>
      <c r="B2" t="n">
        <v>48</v>
      </c>
      <c r="C2" t="n">
        <v>20</v>
      </c>
      <c r="D2">
        <f>B2*C2</f>
        <v/>
      </c>
      <c r="E2" t="n">
        <v>10</v>
      </c>
      <c r="F2">
        <f>D2/E2</f>
        <v/>
      </c>
      <c r="G2" t="inlineStr">
        <is>
          <t>Düşük destek, 25 km/h civarı</t>
        </is>
      </c>
    </row>
    <row r="3">
      <c r="A3" t="inlineStr">
        <is>
          <t>Şehir-karma</t>
        </is>
      </c>
      <c r="B3" t="n">
        <v>48</v>
      </c>
      <c r="C3" t="n">
        <v>24</v>
      </c>
      <c r="D3">
        <f>B3*C3</f>
        <v/>
      </c>
      <c r="E3" t="n">
        <v>15</v>
      </c>
      <c r="F3">
        <f>D3/E3</f>
        <v/>
      </c>
      <c r="G3" t="inlineStr">
        <is>
          <t>Orta destek, dur-kalk</t>
        </is>
      </c>
    </row>
    <row r="4">
      <c r="A4" t="inlineStr">
        <is>
          <t>Yokuş/kargo</t>
        </is>
      </c>
      <c r="B4" t="n">
        <v>48</v>
      </c>
      <c r="C4" t="n">
        <v>28</v>
      </c>
      <c r="D4">
        <f>B4*C4</f>
        <v/>
      </c>
      <c r="E4" t="n">
        <v>22</v>
      </c>
      <c r="F4">
        <f>D4/E4</f>
        <v/>
      </c>
      <c r="G4" t="inlineStr">
        <is>
          <t>Ağır yük, düşük hız</t>
        </is>
      </c>
    </row>
    <row r="5">
      <c r="A5" t="inlineStr">
        <is>
          <t>Hız odaklı banliyö</t>
        </is>
      </c>
      <c r="B5" t="n">
        <v>52</v>
      </c>
      <c r="C5" t="n">
        <v>24</v>
      </c>
      <c r="D5">
        <f>B5*C5</f>
        <v/>
      </c>
      <c r="E5" t="n">
        <v>18</v>
      </c>
      <c r="F5">
        <f>D5/E5</f>
        <v/>
      </c>
      <c r="G5" t="inlineStr">
        <is>
          <t>Daha yüksek hız, rüzgar etkisi</t>
        </is>
      </c>
    </row>
    <row r="6">
      <c r="A6" t="inlineStr">
        <is>
          <t>Dağ/çok dik yokuş</t>
        </is>
      </c>
      <c r="B6" t="n">
        <v>52</v>
      </c>
      <c r="C6" t="n">
        <v>28</v>
      </c>
      <c r="D6">
        <f>B6*C6</f>
        <v/>
      </c>
      <c r="E6" t="n">
        <v>26</v>
      </c>
      <c r="F6">
        <f>D6/E6</f>
        <v/>
      </c>
      <c r="G6" t="inlineStr">
        <is>
          <t>Isı yönetimi ve vites çok önemli</t>
        </is>
      </c>
    </row>
    <row r="7"/>
    <row r="8">
      <c r="A8" t="inlineStr">
        <is>
          <t>Özel Hesap (doldur)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Voltaj (V)</t>
        </is>
      </c>
      <c r="B9" t="inlineStr">
        <is>
          <t>Kapasite (Ah)</t>
        </is>
      </c>
      <c r="C9" t="inlineStr">
        <is>
          <t>Enerji (Wh)</t>
        </is>
      </c>
      <c r="D9" t="inlineStr">
        <is>
          <t>Tüketim (Wh/km)</t>
        </is>
      </c>
      <c r="E9" t="inlineStr">
        <is>
          <t>Menzil (km)</t>
        </is>
      </c>
      <c r="F9" t="inlineStr"/>
      <c r="G9" t="inlineStr"/>
    </row>
    <row r="10">
      <c r="A10" t="n">
        <v>48</v>
      </c>
      <c r="B10" t="n">
        <v>28</v>
      </c>
      <c r="C10">
        <f>A10*B10</f>
        <v/>
      </c>
      <c r="D10" t="n">
        <v>15</v>
      </c>
      <c r="E10">
        <f>C10/D10</f>
        <v/>
      </c>
      <c r="F10" t="inlineStr"/>
      <c r="G10" t="inlineStr"/>
    </row>
    <row r="11">
      <c r="A11" t="inlineStr">
        <is>
          <t>İpucu: Tüketim; düz 8–12, karma 12–18, yokuş/kargo 18–28 Wh/km aralığında olur.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43" customWidth="1" min="3" max="3"/>
    <col width="18" customWidth="1" min="4" max="4"/>
    <col width="19" customWidth="1" min="5" max="5"/>
    <col width="47" customWidth="1" min="6" max="6"/>
  </cols>
  <sheetData>
    <row r="1">
      <c r="A1" t="inlineStr">
        <is>
          <t>Kategori</t>
        </is>
      </c>
      <c r="B1" t="inlineStr">
        <is>
          <t>Parça</t>
        </is>
      </c>
      <c r="C1" t="inlineStr">
        <is>
          <t>Öneri / Spec</t>
        </is>
      </c>
      <c r="D1" t="inlineStr">
        <is>
          <t>BBS02B (25A)</t>
        </is>
      </c>
      <c r="E1" t="inlineStr">
        <is>
          <t>BBSHD (30A)</t>
        </is>
      </c>
      <c r="F1" t="inlineStr">
        <is>
          <t>Not / Neden</t>
        </is>
      </c>
    </row>
    <row r="2">
      <c r="A2" t="inlineStr">
        <is>
          <t>Güç hattı</t>
        </is>
      </c>
      <c r="B2" t="inlineStr">
        <is>
          <t>Ana konnektör</t>
        </is>
      </c>
      <c r="C2" t="inlineStr">
        <is>
          <t>XT60 (min) / XT90-S (öneri)</t>
        </is>
      </c>
      <c r="D2" t="inlineStr">
        <is>
          <t>XT60 veya XT90-S</t>
        </is>
      </c>
      <c r="E2" t="inlineStr">
        <is>
          <t>XT90-S</t>
        </is>
      </c>
      <c r="F2" t="inlineStr">
        <is>
          <t>Anti-spark kıvılcımı azaltır, ömür uzatır.</t>
        </is>
      </c>
    </row>
    <row r="3">
      <c r="A3" t="inlineStr">
        <is>
          <t>Güç hattı</t>
        </is>
      </c>
      <c r="B3" t="inlineStr">
        <is>
          <t>Kablo (batarya→motor)</t>
        </is>
      </c>
      <c r="C3" t="inlineStr">
        <is>
          <t>12 AWG (min) / 10 AWG (öneri)</t>
        </is>
      </c>
      <c r="D3" t="inlineStr">
        <is>
          <t>12 AWG</t>
        </is>
      </c>
      <c r="E3" t="inlineStr">
        <is>
          <t>10–12 AWG</t>
        </is>
      </c>
      <c r="F3" t="inlineStr">
        <is>
          <t>Kısa tut; 52V ve sıcak bölgede kalınlaştır.</t>
        </is>
      </c>
    </row>
    <row r="4">
      <c r="A4" t="inlineStr">
        <is>
          <t>Koruma</t>
        </is>
      </c>
      <c r="B4" t="inlineStr">
        <is>
          <t>Sigorta</t>
        </is>
      </c>
      <c r="C4" t="inlineStr">
        <is>
          <t>Blade/MIDI; 35A / 45A</t>
        </is>
      </c>
      <c r="D4" t="inlineStr">
        <is>
          <t>35A</t>
        </is>
      </c>
      <c r="E4" t="inlineStr">
        <is>
          <t>45A</t>
        </is>
      </c>
      <c r="F4" t="inlineStr">
        <is>
          <t>Bataryaya yakın konumda; kısa devre koruması.</t>
        </is>
      </c>
    </row>
    <row r="5">
      <c r="A5" t="inlineStr">
        <is>
          <t>Koruma</t>
        </is>
      </c>
      <c r="B5" t="inlineStr">
        <is>
          <t>Sigorta yuvası</t>
        </is>
      </c>
      <c r="C5" t="inlineStr">
        <is>
          <t>Su sıçramasına dayanıklı</t>
        </is>
      </c>
      <c r="D5" t="inlineStr">
        <is>
          <t>Evet</t>
        </is>
      </c>
      <c r="E5" t="inlineStr">
        <is>
          <t>Evet</t>
        </is>
      </c>
      <c r="F5" t="inlineStr">
        <is>
          <t>IP sınıfı olan tercih edilir.</t>
        </is>
      </c>
    </row>
    <row r="6">
      <c r="A6" t="inlineStr">
        <is>
          <t>Kontrol</t>
        </is>
      </c>
      <c r="B6" t="inlineStr">
        <is>
          <t>Ana açma-kapama</t>
        </is>
      </c>
      <c r="C6" t="inlineStr">
        <is>
          <t>48–52V, 40–60A anahtar/kontaktör</t>
        </is>
      </c>
      <c r="D6" t="inlineStr">
        <is>
          <t>40A sınıfı</t>
        </is>
      </c>
      <c r="E6" t="inlineStr">
        <is>
          <t>60A sınıfı</t>
        </is>
      </c>
      <c r="F6" t="inlineStr">
        <is>
          <t>Kargo/servis için pratik.</t>
        </is>
      </c>
    </row>
    <row r="7">
      <c r="A7" t="inlineStr">
        <is>
          <t>İzolasyon</t>
        </is>
      </c>
      <c r="B7" t="inlineStr">
        <is>
          <t>Isı büzüşmeli makaron</t>
        </is>
      </c>
      <c r="C7" t="inlineStr">
        <is>
          <t>Yapışkanlı (adhesive)</t>
        </is>
      </c>
      <c r="D7" t="inlineStr">
        <is>
          <t>Evet</t>
        </is>
      </c>
      <c r="E7" t="inlineStr">
        <is>
          <t>Evet</t>
        </is>
      </c>
      <c r="F7" t="inlineStr">
        <is>
          <t>Su ve titreşim için.</t>
        </is>
      </c>
    </row>
    <row r="8">
      <c r="A8" t="inlineStr">
        <is>
          <t>İzolasyon</t>
        </is>
      </c>
      <c r="B8" t="inlineStr">
        <is>
          <t>Kablo örgü kılıf</t>
        </is>
      </c>
      <c r="C8" t="inlineStr">
        <is>
          <t>PET sleeve</t>
        </is>
      </c>
      <c r="D8" t="inlineStr">
        <is>
          <t>Opsiyonel</t>
        </is>
      </c>
      <c r="E8" t="inlineStr">
        <is>
          <t>Önerilir</t>
        </is>
      </c>
      <c r="F8" t="inlineStr">
        <is>
          <t>Aşınma/UV korur.</t>
        </is>
      </c>
    </row>
    <row r="9">
      <c r="A9" t="inlineStr">
        <is>
          <t>Konnektör</t>
        </is>
      </c>
      <c r="B9" t="inlineStr">
        <is>
          <t>Yedek pin/konnektör seti</t>
        </is>
      </c>
      <c r="C9" t="inlineStr">
        <is>
          <t>XT/Anderson/uyumlu</t>
        </is>
      </c>
      <c r="D9" t="inlineStr">
        <is>
          <t>Önerilir</t>
        </is>
      </c>
      <c r="E9" t="inlineStr">
        <is>
          <t>Önerilir</t>
        </is>
      </c>
      <c r="F9" t="inlineStr">
        <is>
          <t>Saha tamiri için.</t>
        </is>
      </c>
    </row>
    <row r="10">
      <c r="A10" t="inlineStr">
        <is>
          <t>Mekanik</t>
        </is>
      </c>
      <c r="B10" t="inlineStr">
        <is>
          <t>Aynakol dişli</t>
        </is>
      </c>
      <c r="C10" t="inlineStr">
        <is>
          <t>Başlangıç 36T; 36–38T yokuş, 40–42T şehir</t>
        </is>
      </c>
      <c r="D10" t="inlineStr">
        <is>
          <t>36–42T</t>
        </is>
      </c>
      <c r="E10" t="inlineStr">
        <is>
          <t>36–46T</t>
        </is>
      </c>
      <c r="F10" t="inlineStr">
        <is>
          <t>Yokuş/kargo için 36T en güvenlisi.</t>
        </is>
      </c>
    </row>
    <row r="11">
      <c r="A11" t="inlineStr">
        <is>
          <t>Mekanik</t>
        </is>
      </c>
      <c r="B11" t="inlineStr">
        <is>
          <t>Zincir</t>
        </is>
      </c>
      <c r="C11" t="inlineStr">
        <is>
          <t>E-bike rated zincir</t>
        </is>
      </c>
      <c r="D11" t="inlineStr">
        <is>
          <t>Önerilir</t>
        </is>
      </c>
      <c r="E11" t="inlineStr">
        <is>
          <t>Önerilir</t>
        </is>
      </c>
      <c r="F11" t="inlineStr">
        <is>
          <t>Yüksek torkta zincir uzaması azalır.</t>
        </is>
      </c>
    </row>
    <row r="12">
      <c r="A12" t="inlineStr">
        <is>
          <t>Mekanik</t>
        </is>
      </c>
      <c r="B12" t="inlineStr">
        <is>
          <t>Arka ruble/dişli</t>
        </is>
      </c>
      <c r="C12" t="inlineStr">
        <is>
          <t>7–9s sağlam ruble</t>
        </is>
      </c>
      <c r="D12" t="inlineStr">
        <is>
          <t>Önerilir</t>
        </is>
      </c>
      <c r="E12" t="inlineStr">
        <is>
          <t>Önerilir</t>
        </is>
      </c>
      <c r="F12" t="inlineStr">
        <is>
          <t>Düşük vites tırmanışta kritik.</t>
        </is>
      </c>
    </row>
    <row r="13">
      <c r="A13" t="inlineStr">
        <is>
          <t>Fren</t>
        </is>
      </c>
      <c r="B13" t="inlineStr">
        <is>
          <t>Fren upgrade</t>
        </is>
      </c>
      <c r="C13" t="inlineStr">
        <is>
          <t>Hidrolik / 180–203mm rotor</t>
        </is>
      </c>
      <c r="D13" t="inlineStr">
        <is>
          <t>Önerilir</t>
        </is>
      </c>
      <c r="E13" t="inlineStr">
        <is>
          <t>Şiddetle önerilir</t>
        </is>
      </c>
      <c r="F13" t="inlineStr">
        <is>
          <t>Hız ve ağırlık arttıkça fren şart.</t>
        </is>
      </c>
    </row>
    <row r="14">
      <c r="A14" t="inlineStr">
        <is>
          <t>Sensör</t>
        </is>
      </c>
      <c r="B14" t="inlineStr">
        <is>
          <t>Vites sensörü</t>
        </is>
      </c>
      <c r="C14" t="inlineStr">
        <is>
          <t>Shift sensor (opsiyonel)</t>
        </is>
      </c>
      <c r="D14" t="inlineStr">
        <is>
          <t>Önerilir</t>
        </is>
      </c>
      <c r="E14" t="inlineStr">
        <is>
          <t>Önerilir</t>
        </is>
      </c>
      <c r="F14" t="inlineStr">
        <is>
          <t>Vites değişiminde aktarma yükünü azaltır.</t>
        </is>
      </c>
    </row>
    <row r="15">
      <c r="A15" t="inlineStr">
        <is>
          <t>Ekran</t>
        </is>
      </c>
      <c r="B15" t="inlineStr">
        <is>
          <t>Ekran/Controller uyumu</t>
        </is>
      </c>
      <c r="C15" t="inlineStr">
        <is>
          <t>Uyumlu display (DPC/DP/C serisi)</t>
        </is>
      </c>
      <c r="D15" t="inlineStr">
        <is>
          <t>Gerekli</t>
        </is>
      </c>
      <c r="E15" t="inlineStr">
        <is>
          <t>Gerekli</t>
        </is>
      </c>
      <c r="F15" t="inlineStr">
        <is>
          <t>Parametre ayarı ve hata takibi.</t>
        </is>
      </c>
    </row>
    <row r="16">
      <c r="A16" t="inlineStr">
        <is>
          <t>Montaj</t>
        </is>
      </c>
      <c r="B16" t="inlineStr">
        <is>
          <t>Tork anahtarı</t>
        </is>
      </c>
      <c r="C16" t="inlineStr">
        <is>
          <t>2–24 Nm aralığı</t>
        </is>
      </c>
      <c r="D16" t="inlineStr">
        <is>
          <t>Önerilir</t>
        </is>
      </c>
      <c r="E16" t="inlineStr">
        <is>
          <t>Önerilir</t>
        </is>
      </c>
      <c r="F16" t="inlineStr">
        <is>
          <t>BB ve aynakol sıkma güvenliği.</t>
        </is>
      </c>
    </row>
    <row r="17">
      <c r="A17" t="inlineStr">
        <is>
          <t>Montaj</t>
        </is>
      </c>
      <c r="B17" t="inlineStr">
        <is>
          <t>Loctite</t>
        </is>
      </c>
      <c r="C17" t="inlineStr">
        <is>
          <t>Orta kuvvet (mavi)</t>
        </is>
      </c>
      <c r="D17" t="inlineStr">
        <is>
          <t>Opsiyonel</t>
        </is>
      </c>
      <c r="E17" t="inlineStr">
        <is>
          <t>Opsiyonel</t>
        </is>
      </c>
      <c r="F17" t="inlineStr">
        <is>
          <t>Titreşimde gevşemeyi azaltır.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2025-12-29T01:09:51Z</dcterms:created>
  <dcterms:modified xmlns:dcterms="http://purl.org/dc/terms/" xmlns:xsi="http://www.w3.org/2001/XMLSchema-instance" xsi:type="dcterms:W3CDTF">2025-12-29T01:13:49Z</dcterms:modified>
</cp:coreProperties>
</file>